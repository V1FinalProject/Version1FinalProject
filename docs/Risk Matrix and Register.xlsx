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eneyL\Downloads\"/>
    </mc:Choice>
  </mc:AlternateContent>
  <xr:revisionPtr revIDLastSave="0" documentId="8_{400237AB-AB83-4DDF-938E-4BF9B67E127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sk Matrix" sheetId="1" r:id="rId1"/>
    <sheet name="Risk Regi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<sst xmlns="http://schemas.openxmlformats.org/spreadsheetml/2006/main" count="108" uniqueCount="92">
  <si>
    <t>SEVERITY →
LIKELIHOOD ↓</t>
  </si>
  <si>
    <t>Legend:</t>
  </si>
  <si>
    <t>Low (1–2)</t>
  </si>
  <si>
    <t>Medium (3–4)</t>
  </si>
  <si>
    <t>High (6–9)</t>
  </si>
  <si>
    <t>Risk ID</t>
  </si>
  <si>
    <t>Category</t>
  </si>
  <si>
    <t>Risk Description</t>
  </si>
  <si>
    <t>Likelihood
(1–3)</t>
  </si>
  <si>
    <t>Severity
(1–3)</t>
  </si>
  <si>
    <t>Score
(L×S)</t>
  </si>
  <si>
    <t>Risk Level</t>
  </si>
  <si>
    <t>Impact if Risk
Occurs</t>
  </si>
  <si>
    <t>Mitigation / Controls</t>
  </si>
  <si>
    <t>Owner</t>
  </si>
  <si>
    <t>R01</t>
  </si>
  <si>
    <t>Ethical Use</t>
  </si>
  <si>
    <t>Reciprocal or self-nominations submitted by employees</t>
  </si>
  <si>
    <t>High</t>
  </si>
  <si>
    <t>High
Erosion of programme integrity and employee trust</t>
  </si>
  <si>
    <t>Recognition Team</t>
  </si>
  <si>
    <t>R02</t>
  </si>
  <si>
    <t>Bias/Fairness</t>
  </si>
  <si>
    <t>Line Managers</t>
  </si>
  <si>
    <t>R03</t>
  </si>
  <si>
    <t>Legal/Compliance</t>
  </si>
  <si>
    <t>Contractor receives or submits a nomination in breach of guidelines</t>
  </si>
  <si>
    <t>High
Legal liability and reputational harm to Version 1</t>
  </si>
  <si>
    <t>R04</t>
  </si>
  <si>
    <t>Data Privacy</t>
  </si>
  <si>
    <t>Approved nominations posted publicly on Viva Engage without consent</t>
  </si>
  <si>
    <t>Communication plan to confirm recipient consent before public posting</t>
  </si>
  <si>
    <t>HR / Comms</t>
  </si>
  <si>
    <t>R05</t>
  </si>
  <si>
    <t>Process</t>
  </si>
  <si>
    <t>Approval bottlenecks delay quarterly award cycle</t>
  </si>
  <si>
    <t>Medium</t>
  </si>
  <si>
    <t>R06</t>
  </si>
  <si>
    <t>Inconsistent rubric scoring across regions / panels</t>
  </si>
  <si>
    <t>R07</t>
  </si>
  <si>
    <t>Reputational</t>
  </si>
  <si>
    <t>Rejected nomination causes employee grievance or PR incident</t>
  </si>
  <si>
    <t>HR</t>
  </si>
  <si>
    <t>R08</t>
  </si>
  <si>
    <t>Budget/Integrity</t>
  </si>
  <si>
    <t>Last-minute batch submissions complicate budget and review</t>
  </si>
  <si>
    <t>Finance / Recog Team</t>
  </si>
  <si>
    <t>R09</t>
  </si>
  <si>
    <t>New joiners excluded from recognition culture</t>
  </si>
  <si>
    <t>Low</t>
  </si>
  <si>
    <t>Manager onboarding checklist includes recognition programme introduction</t>
  </si>
  <si>
    <t>R10</t>
  </si>
  <si>
    <t>Budget</t>
  </si>
  <si>
    <t>Exchange rate errors in multi-region award values</t>
  </si>
  <si>
    <t>Low
Incorrect award amounts paid out</t>
  </si>
  <si>
    <t>Finance</t>
  </si>
  <si>
    <t>R11</t>
  </si>
  <si>
    <t>Single missed nomination due to admin error</t>
  </si>
  <si>
    <t>Low
Minor process gap; negligible programme impact</t>
  </si>
  <si>
    <t>Systemic visibility bias. Only high-profile roles nominated</t>
  </si>
  <si>
    <t>High
-6-
Systemic bias in nominations.
Widespread ethical misuse
(reciprocal nominations).</t>
  </si>
  <si>
    <t>High
-9-
Erosion of programme integrity and employee trust</t>
  </si>
  <si>
    <t>High
Demotivation of under-recognised employees. Cultural damage</t>
  </si>
  <si>
    <t>High
GDPR breach. Reputational and legal consequences</t>
  </si>
  <si>
    <t>Medium
Delayed recognition. Reduced employee engagement</t>
  </si>
  <si>
    <t>Medium
Unfair outcomes. Loss of confidence in scoring</t>
  </si>
  <si>
    <t>Medium
Employee relations issue. Negative publicity risk</t>
  </si>
  <si>
    <t>Medium
Budget overrun. Review process disruption</t>
  </si>
  <si>
    <t>Low
New joiners feel undervalued. Early disengagement</t>
  </si>
  <si>
    <t>One Star per quarter enforced by platform. Approval review by Recognition Team</t>
  </si>
  <si>
    <t>Manager responsibility to surface less visible contributors. Panel bias checks</t>
  </si>
  <si>
    <t>Platform eligibility gate. Contractor status checked at submission</t>
  </si>
  <si>
    <t>SLA on approval turnaround. escalation path defined in process</t>
  </si>
  <si>
    <t>Scoring rubric standardised. Panel session held each quarter for calibration purposes</t>
  </si>
  <si>
    <t>Constructive written feedback on all rejections Re-submission permitted within quarter</t>
  </si>
  <si>
    <t>Submission deadline enforced. Late nominations deferred to next quarter</t>
  </si>
  <si>
    <t>Award values fixed in local currency per published table. This is reviewed annually</t>
  </si>
  <si>
    <t>Quarterly review to confirm all eligible employees have had equal opportunity to nominate and be nominated</t>
  </si>
  <si>
    <t>Medium
-3-
Awards given too often. Quality of nomination drops</t>
  </si>
  <si>
    <t xml:space="preserve"> Risk Matrix</t>
  </si>
  <si>
    <t>Low
-2-
Occasional incorrect contractor
nominations caught early
in approval flow.</t>
  </si>
  <si>
    <t>Medium
-4-
Approval bottlenecks.
Inconsistent scoring rubric
application across locations.</t>
  </si>
  <si>
    <t>High
-6-
Legal trouble from paying contractors. Data privacy issues on Viva Engage.</t>
  </si>
  <si>
    <t>Low
-1-
Single missed nomination.
Minor delay in quarterly
review cycle.</t>
  </si>
  <si>
    <t>Low
-2-
Budget miscalculation due to
late batch submissions.
Exchange rate errors.</t>
  </si>
  <si>
    <t>Medium
-3-
Reputational risk from a
public misuse case; rejected
nomination causing staff grievance.</t>
  </si>
  <si>
    <t>1 - Minor</t>
  </si>
  <si>
    <t>2 - Serious</t>
  </si>
  <si>
    <t>3 - Fatal</t>
  </si>
  <si>
    <t>3 - Probable</t>
  </si>
  <si>
    <t>2 - Possible</t>
  </si>
  <si>
    <t>1 - Unlikely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</si>
</sst>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0B0B0B"/>
      <name val="Arial"/>
      <charset val="1"/>
    </font>
    <font>
      <i/>
      <sz val="10"/>
      <color rgb="FF52514E"/>
      <name val="Arial"/>
      <charset val="1"/>
    </font>
    <font>
      <b/>
      <sz val="9"/>
      <color rgb="FF0B0B0B"/>
      <name val="Arial"/>
      <charset val="1"/>
    </font>
    <font>
      <b/>
      <sz val="11"/>
      <color rgb="FFFFFFFF"/>
      <name val="Arial"/>
      <charset val="1"/>
    </font>
    <font>
      <b/>
      <sz val="10"/>
      <color rgb="FF444441"/>
      <name val="Arial"/>
      <charset val="1"/>
    </font>
    <font>
      <b/>
      <sz val="11"/>
      <color rgb="FF633806"/>
      <name val="Arial"/>
      <charset val="1"/>
    </font>
    <font>
      <b/>
      <sz val="11"/>
      <color rgb="FF501313"/>
      <name val="Arial"/>
      <charset val="1"/>
    </font>
    <font>
      <b/>
      <sz val="11"/>
      <color rgb="FF27500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501313"/>
      <name val="Arial"/>
      <charset val="1"/>
    </font>
    <font>
      <b/>
      <sz val="10"/>
      <color rgb="FF633806"/>
      <name val="Arial"/>
      <charset val="1"/>
    </font>
    <font>
      <b/>
      <sz val="10"/>
      <color rgb="FF27500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1EFE8"/>
        <bgColor rgb="FFEAF3DE"/>
      </patternFill>
    </fill>
    <fill>
      <patternFill patternType="solid">
        <fgColor rgb="FF2A78D6"/>
        <bgColor rgb="FF0066CC"/>
      </patternFill>
    </fill>
    <fill>
      <patternFill patternType="solid">
        <fgColor rgb="FFFF0000"/>
        <bgColor rgb="FFFAEEDA"/>
      </patternFill>
    </fill>
    <fill>
      <patternFill patternType="solid">
        <fgColor rgb="FFFFFF00"/>
        <bgColor rgb="FFFCEBEB"/>
      </patternFill>
    </fill>
    <fill>
      <patternFill patternType="solid">
        <fgColor rgb="FF00B050"/>
        <bgColor rgb="FFF1EFE8"/>
      </patternFill>
    </fill>
    <fill>
      <patternFill patternType="solid">
        <fgColor rgb="FFFFFF00"/>
        <bgColor rgb="FFEAF3DE"/>
      </patternFill>
    </fill>
    <fill>
      <patternFill patternType="solid">
        <fgColor rgb="FFFF0000"/>
        <bgColor rgb="FFEAF3DE"/>
      </patternFill>
    </fill>
    <fill>
      <patternFill patternType="solid">
        <fgColor rgb="FF00B050"/>
        <bgColor rgb="FFEAF3D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1313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EEDA"/>
      <rgbColor rgb="FFF1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EAF3DE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B0B0B"/>
      <rgbColor rgb="FF27500A"/>
      <rgbColor rgb="FF633806"/>
      <rgbColor rgb="FF99336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tabSelected="1" zoomScale="70" zoomScaleNormal="70" workbookViewId="0">
      <selection activeCell="B10" sqref="B10:B11"/>
    </sheetView>
  </sheetViews>
  <sheetFormatPr defaultColWidth="8.6328125" defaultRowHeight="14.5" x14ac:dyDescent="0.35"/>
  <cols>
    <col min="2" max="2" width="16" customWidth="1"/>
    <col min="3" max="5" width="28" customWidth="1"/>
  </cols>
  <sheetData>
    <row r="1" spans="2:6" ht="21.75" customHeight="1" x14ac:dyDescent="0.35">
      <c r="B1" s="5" t="s">
        <v>79</v>
      </c>
      <c r="C1" s="5"/>
      <c r="D1" s="5"/>
      <c r="E1" s="5"/>
      <c r="F1" s="5"/>
    </row>
    <row r="2" spans="2:6" ht="15.75" customHeight="1" x14ac:dyDescent="0.35">
      <c r="B2" s="4"/>
      <c r="C2" s="4"/>
      <c r="D2" s="4"/>
      <c r="E2" s="4"/>
      <c r="F2" s="4"/>
    </row>
    <row r="4" spans="2:6" ht="30" customHeight="1" x14ac:dyDescent="0.35">
      <c r="B4" s="3" t="s">
        <v>0</v>
      </c>
      <c r="C4" s="2" t="s">
        <v>86</v>
      </c>
      <c r="D4" s="2" t="s">
        <v>87</v>
      </c>
      <c r="E4" s="2" t="s">
        <v>88</v>
      </c>
    </row>
    <row r="5" spans="2:6" ht="28" customHeight="1" x14ac:dyDescent="0.35">
      <c r="B5" s="3"/>
      <c r="C5" s="3"/>
      <c r="D5" s="3"/>
      <c r="E5" s="3"/>
    </row>
    <row r="6" spans="2:6" ht="64.5" customHeight="1" x14ac:dyDescent="0.35">
      <c r="B6" s="1" t="s">
        <v>89</v>
      </c>
      <c r="C6" s="15" t="s">
        <v>78</v>
      </c>
      <c r="D6" s="17" t="s">
        <v>60</v>
      </c>
      <c r="E6" s="17" t="s">
        <v>61</v>
      </c>
    </row>
    <row r="7" spans="2:6" ht="39.5" customHeight="1" x14ac:dyDescent="0.35">
      <c r="B7" s="1"/>
      <c r="C7" s="16"/>
      <c r="D7" s="18"/>
      <c r="E7" s="18"/>
    </row>
    <row r="8" spans="2:6" ht="36" customHeight="1" x14ac:dyDescent="0.35">
      <c r="B8" s="1" t="s">
        <v>90</v>
      </c>
      <c r="C8" s="19" t="s">
        <v>80</v>
      </c>
      <c r="D8" s="15" t="s">
        <v>81</v>
      </c>
      <c r="E8" s="17" t="s">
        <v>82</v>
      </c>
    </row>
    <row r="9" spans="2:6" ht="75" customHeight="1" x14ac:dyDescent="0.35">
      <c r="B9" s="1"/>
      <c r="C9" s="20"/>
      <c r="D9" s="16"/>
      <c r="E9" s="18"/>
    </row>
    <row r="10" spans="2:6" ht="36" customHeight="1" x14ac:dyDescent="0.35">
      <c r="B10" s="1" t="s">
        <v>91</v>
      </c>
      <c r="C10" s="19" t="s">
        <v>83</v>
      </c>
      <c r="D10" s="19" t="s">
        <v>84</v>
      </c>
      <c r="E10" s="15" t="s">
        <v>85</v>
      </c>
    </row>
    <row r="11" spans="2:6" ht="89.5" customHeight="1" x14ac:dyDescent="0.35">
      <c r="B11" s="1"/>
      <c r="C11" s="20"/>
      <c r="D11" s="20"/>
      <c r="E11" s="16"/>
    </row>
    <row r="13" spans="2:6" ht="21.75" customHeight="1" x14ac:dyDescent="0.35">
      <c r="B13" s="6" t="s">
        <v>1</v>
      </c>
      <c r="C13" s="13" t="s">
        <v>2</v>
      </c>
      <c r="D13" s="11" t="s">
        <v>3</v>
      </c>
      <c r="E13" s="9" t="s">
        <v>4</v>
      </c>
    </row>
  </sheetData>
  <mergeCells count="18">
    <mergeCell ref="B10:B11"/>
    <mergeCell ref="C10:C11"/>
    <mergeCell ref="D10:D11"/>
    <mergeCell ref="E10:E11"/>
    <mergeCell ref="B6:B7"/>
    <mergeCell ref="C6:C7"/>
    <mergeCell ref="D6:D7"/>
    <mergeCell ref="E6:E7"/>
    <mergeCell ref="B8:B9"/>
    <mergeCell ref="C8:C9"/>
    <mergeCell ref="D8:D9"/>
    <mergeCell ref="E8:E9"/>
    <mergeCell ref="B1:F1"/>
    <mergeCell ref="B2:F2"/>
    <mergeCell ref="B4:B5"/>
    <mergeCell ref="C4:C5"/>
    <mergeCell ref="D4:D5"/>
    <mergeCell ref="E4:E5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opLeftCell="A8" zoomScale="70" zoomScaleNormal="70" workbookViewId="0">
      <selection activeCell="J4" sqref="J4"/>
    </sheetView>
  </sheetViews>
  <sheetFormatPr defaultColWidth="8.6328125" defaultRowHeight="14.5" x14ac:dyDescent="0.35"/>
  <cols>
    <col min="1" max="1" width="8" customWidth="1"/>
    <col min="2" max="2" width="16" customWidth="1"/>
    <col min="3" max="3" width="40" customWidth="1"/>
    <col min="4" max="5" width="12" customWidth="1"/>
    <col min="6" max="6" width="10" customWidth="1"/>
    <col min="7" max="7" width="12" customWidth="1"/>
    <col min="8" max="8" width="32" customWidth="1"/>
    <col min="9" max="9" width="40" customWidth="1"/>
    <col min="10" max="10" width="18" customWidth="1"/>
  </cols>
  <sheetData>
    <row r="1" spans="1:10" ht="36" customHeight="1" x14ac:dyDescent="0.3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</row>
    <row r="2" spans="1:10" ht="65" customHeight="1" x14ac:dyDescent="0.35">
      <c r="A2" s="8" t="s">
        <v>15</v>
      </c>
      <c r="B2" s="8" t="s">
        <v>16</v>
      </c>
      <c r="C2" s="8" t="s">
        <v>17</v>
      </c>
      <c r="D2" s="8">
        <v>3</v>
      </c>
      <c r="E2" s="8">
        <v>3</v>
      </c>
      <c r="F2" s="8">
        <f t="shared" ref="F2:F12" si="0">D2*E2</f>
        <v>9</v>
      </c>
      <c r="G2" s="9" t="s">
        <v>18</v>
      </c>
      <c r="H2" s="10" t="s">
        <v>19</v>
      </c>
      <c r="I2" s="8" t="s">
        <v>69</v>
      </c>
      <c r="J2" s="8" t="s">
        <v>20</v>
      </c>
    </row>
    <row r="3" spans="1:10" ht="65.5" customHeight="1" x14ac:dyDescent="0.35">
      <c r="A3" s="8" t="s">
        <v>21</v>
      </c>
      <c r="B3" s="8" t="s">
        <v>22</v>
      </c>
      <c r="C3" s="8" t="s">
        <v>59</v>
      </c>
      <c r="D3" s="8">
        <v>3</v>
      </c>
      <c r="E3" s="8">
        <v>2</v>
      </c>
      <c r="F3" s="8">
        <f t="shared" si="0"/>
        <v>6</v>
      </c>
      <c r="G3" s="9" t="s">
        <v>18</v>
      </c>
      <c r="H3" s="10" t="s">
        <v>62</v>
      </c>
      <c r="I3" s="8" t="s">
        <v>70</v>
      </c>
      <c r="J3" s="8" t="s">
        <v>23</v>
      </c>
    </row>
    <row r="4" spans="1:10" ht="68.5" customHeight="1" x14ac:dyDescent="0.35">
      <c r="A4" s="8" t="s">
        <v>24</v>
      </c>
      <c r="B4" s="8" t="s">
        <v>25</v>
      </c>
      <c r="C4" s="8" t="s">
        <v>26</v>
      </c>
      <c r="D4" s="8">
        <v>2</v>
      </c>
      <c r="E4" s="8">
        <v>3</v>
      </c>
      <c r="F4" s="8">
        <f t="shared" si="0"/>
        <v>6</v>
      </c>
      <c r="G4" s="9" t="s">
        <v>18</v>
      </c>
      <c r="H4" s="10" t="s">
        <v>27</v>
      </c>
      <c r="I4" s="8" t="s">
        <v>71</v>
      </c>
      <c r="J4" s="8" t="s">
        <v>20</v>
      </c>
    </row>
    <row r="5" spans="1:10" ht="65.5" customHeight="1" x14ac:dyDescent="0.35">
      <c r="A5" s="8" t="s">
        <v>28</v>
      </c>
      <c r="B5" s="8" t="s">
        <v>29</v>
      </c>
      <c r="C5" s="8" t="s">
        <v>30</v>
      </c>
      <c r="D5" s="8">
        <v>2</v>
      </c>
      <c r="E5" s="8">
        <v>3</v>
      </c>
      <c r="F5" s="8">
        <f t="shared" si="0"/>
        <v>6</v>
      </c>
      <c r="G5" s="9" t="s">
        <v>18</v>
      </c>
      <c r="H5" s="10" t="s">
        <v>63</v>
      </c>
      <c r="I5" s="8" t="s">
        <v>31</v>
      </c>
      <c r="J5" s="8" t="s">
        <v>32</v>
      </c>
    </row>
    <row r="6" spans="1:10" ht="61.5" customHeight="1" x14ac:dyDescent="0.35">
      <c r="A6" s="8" t="s">
        <v>33</v>
      </c>
      <c r="B6" s="8" t="s">
        <v>34</v>
      </c>
      <c r="C6" s="8" t="s">
        <v>35</v>
      </c>
      <c r="D6" s="8">
        <v>2</v>
      </c>
      <c r="E6" s="8">
        <v>2</v>
      </c>
      <c r="F6" s="8">
        <f t="shared" si="0"/>
        <v>4</v>
      </c>
      <c r="G6" s="11" t="s">
        <v>36</v>
      </c>
      <c r="H6" s="12" t="s">
        <v>64</v>
      </c>
      <c r="I6" s="8" t="s">
        <v>72</v>
      </c>
      <c r="J6" s="8" t="s">
        <v>20</v>
      </c>
    </row>
    <row r="7" spans="1:10" ht="61.5" customHeight="1" x14ac:dyDescent="0.35">
      <c r="A7" s="8" t="s">
        <v>37</v>
      </c>
      <c r="B7" s="8" t="s">
        <v>34</v>
      </c>
      <c r="C7" s="8" t="s">
        <v>38</v>
      </c>
      <c r="D7" s="8">
        <v>2</v>
      </c>
      <c r="E7" s="8">
        <v>2</v>
      </c>
      <c r="F7" s="8">
        <f t="shared" si="0"/>
        <v>4</v>
      </c>
      <c r="G7" s="11" t="s">
        <v>36</v>
      </c>
      <c r="H7" s="12" t="s">
        <v>65</v>
      </c>
      <c r="I7" s="8" t="s">
        <v>73</v>
      </c>
      <c r="J7" s="8" t="s">
        <v>20</v>
      </c>
    </row>
    <row r="8" spans="1:10" ht="64" customHeight="1" x14ac:dyDescent="0.35">
      <c r="A8" s="8" t="s">
        <v>39</v>
      </c>
      <c r="B8" s="8" t="s">
        <v>40</v>
      </c>
      <c r="C8" s="8" t="s">
        <v>41</v>
      </c>
      <c r="D8" s="8">
        <v>1</v>
      </c>
      <c r="E8" s="8">
        <v>3</v>
      </c>
      <c r="F8" s="8">
        <f t="shared" si="0"/>
        <v>3</v>
      </c>
      <c r="G8" s="11" t="s">
        <v>36</v>
      </c>
      <c r="H8" s="12" t="s">
        <v>66</v>
      </c>
      <c r="I8" s="8" t="s">
        <v>74</v>
      </c>
      <c r="J8" s="8" t="s">
        <v>42</v>
      </c>
    </row>
    <row r="9" spans="1:10" ht="58.5" customHeight="1" x14ac:dyDescent="0.35">
      <c r="A9" s="8" t="s">
        <v>43</v>
      </c>
      <c r="B9" s="8" t="s">
        <v>44</v>
      </c>
      <c r="C9" s="8" t="s">
        <v>45</v>
      </c>
      <c r="D9" s="8">
        <v>3</v>
      </c>
      <c r="E9" s="8">
        <v>1</v>
      </c>
      <c r="F9" s="8">
        <f t="shared" si="0"/>
        <v>3</v>
      </c>
      <c r="G9" s="11" t="s">
        <v>36</v>
      </c>
      <c r="H9" s="12" t="s">
        <v>67</v>
      </c>
      <c r="I9" s="8" t="s">
        <v>75</v>
      </c>
      <c r="J9" s="8" t="s">
        <v>46</v>
      </c>
    </row>
    <row r="10" spans="1:10" ht="62" customHeight="1" x14ac:dyDescent="0.35">
      <c r="A10" s="8" t="s">
        <v>47</v>
      </c>
      <c r="B10" s="8" t="s">
        <v>34</v>
      </c>
      <c r="C10" s="8" t="s">
        <v>48</v>
      </c>
      <c r="D10" s="8">
        <v>2</v>
      </c>
      <c r="E10" s="8">
        <v>1</v>
      </c>
      <c r="F10" s="8">
        <f t="shared" si="0"/>
        <v>2</v>
      </c>
      <c r="G10" s="13" t="s">
        <v>49</v>
      </c>
      <c r="H10" s="14" t="s">
        <v>68</v>
      </c>
      <c r="I10" s="8" t="s">
        <v>50</v>
      </c>
      <c r="J10" s="8" t="s">
        <v>23</v>
      </c>
    </row>
    <row r="11" spans="1:10" ht="62.5" customHeight="1" x14ac:dyDescent="0.35">
      <c r="A11" s="8" t="s">
        <v>51</v>
      </c>
      <c r="B11" s="8" t="s">
        <v>52</v>
      </c>
      <c r="C11" s="8" t="s">
        <v>53</v>
      </c>
      <c r="D11" s="8">
        <v>1</v>
      </c>
      <c r="E11" s="8">
        <v>2</v>
      </c>
      <c r="F11" s="8">
        <f t="shared" si="0"/>
        <v>2</v>
      </c>
      <c r="G11" s="13" t="s">
        <v>49</v>
      </c>
      <c r="H11" s="14" t="s">
        <v>54</v>
      </c>
      <c r="I11" s="8" t="s">
        <v>76</v>
      </c>
      <c r="J11" s="8" t="s">
        <v>55</v>
      </c>
    </row>
    <row r="12" spans="1:10" ht="67" customHeight="1" x14ac:dyDescent="0.35">
      <c r="A12" s="8" t="s">
        <v>56</v>
      </c>
      <c r="B12" s="8" t="s">
        <v>34</v>
      </c>
      <c r="C12" s="8" t="s">
        <v>57</v>
      </c>
      <c r="D12" s="8">
        <v>1</v>
      </c>
      <c r="E12" s="8">
        <v>1</v>
      </c>
      <c r="F12" s="8">
        <f t="shared" si="0"/>
        <v>1</v>
      </c>
      <c r="G12" s="13" t="s">
        <v>49</v>
      </c>
      <c r="H12" s="14" t="s">
        <v>58</v>
      </c>
      <c r="I12" s="8" t="s">
        <v>77</v>
      </c>
      <c r="J12" s="8" t="s">
        <v>20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&amp;L_x000D_&amp;1#&amp;"Aptos"&amp;6&amp;KFF0000 Classification: Controlled</oddFooter>
  </headerFooter>
</worksheet>
</file>

<file path=docMetadata/LabelInfo.xml><?xml version="1.0" encoding="utf-8"?>
<clbl:labelList xmlns:clbl="http://schemas.microsoft.com/office/2020/mipLabelMetadata">
  <clbl:label id="{95c71a0f-75e1-4c8f-90e2-641c9351dd98}" enabled="1" method="Standard" siteId="{3e0088dc-0629-4ae6-aa8c-813e7a296f5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Matrix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Luke Feeney</cp:lastModifiedBy>
  <cp:revision>0</cp:revision>
  <dcterms:created xsi:type="dcterms:W3CDTF">2026-08-24T10:01:38Z</dcterms:created>
  <dcterms:modified xsi:type="dcterms:W3CDTF">2026-08-24T10:42:43Z</dcterms:modified>
  <dc:language>en-US</dc:language>
</cp:coreProperties>
</file>